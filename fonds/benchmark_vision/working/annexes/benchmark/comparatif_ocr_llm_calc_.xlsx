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46d89be81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f" sheetId="1" r:id="R652872a711aa400e"/>
    <x:sheet xmlns:r="http://schemas.openxmlformats.org/officeDocument/2006/relationships" name="Qualité observée" sheetId="2" r:id="R982b99be4c9d47d1"/>
    <x:sheet xmlns:r="http://schemas.openxmlformats.org/officeDocument/2006/relationships" name="Hypothèses" sheetId="3" r:id="Rf56949ad4736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7fd3cce3f4e99" /><Relationship Type="http://schemas.openxmlformats.org/officeDocument/2006/relationships/theme" Target="/xl/theme/theme1.xml" Id="R8b85afc1f7364d32" /><Relationship Type="http://schemas.openxmlformats.org/officeDocument/2006/relationships/sharedStrings" Target="/xl/sharedStrings.xml" Id="Raea74010bfee4381" /><Relationship Type="http://schemas.openxmlformats.org/officeDocument/2006/relationships/worksheet" Target="/xl/worksheets/sheet1.xml" Id="R652872a711aa400e" /><Relationship Type="http://schemas.openxmlformats.org/officeDocument/2006/relationships/worksheet" Target="/xl/worksheets/sheet2.xml" Id="R982b99be4c9d47d1" /><Relationship Type="http://schemas.openxmlformats.org/officeDocument/2006/relationships/worksheet" Target="/xl/worksheets/sheet3.xml" Id="Rf56949ad47364c68" /></Relationships>
</file>

<file path=xl/tables/table1.xml><?xml version="1.0" encoding="utf-8"?>
<x:table xmlns:x="http://schemas.openxmlformats.org/spreadsheetml/2006/main" id="1" name="OCRComparatifTable" displayName="OCRComparatifTable" ref="A1:R6" headerRowCount="1" totalsRowCount="0" totalsRowShown="0">
  <x:tableColumns count="18">
    <x:tableColumn id="1" name="Fournisseur"/>
    <x:tableColumn id="2" name="Modèle"/>
    <x:tableColumn id="3" name="Usage prévu"/>
    <x:tableColumn id="4" name="Durée 10 pages (s)"/>
    <x:tableColumn id="5" name="s/page"/>
    <x:tableColumn id="6" name="Tokens entrée (10 p.)"/>
    <x:tableColumn id="7" name="Tokens sortie (10 p.)"/>
    <x:tableColumn id="8" name="Tokens total (10 p.)"/>
    <x:tableColumn id="9" name="Tokens entrée / 1000 p."/>
    <x:tableColumn id="10" name="Tokens sortie / 1000 p."/>
    <x:tableColumn id="11" name="Tokens total / 1000 p."/>
    <x:tableColumn id="12" name="Temps / 1000 p. (h)"/>
    <x:tableColumn id="13" name="Tarif entrée (€/M)"/>
    <x:tableColumn id="14" name="Tarif sortie (€/M)"/>
    <x:tableColumn id="15" name="Coût estimé / 1000 p. (€)"/>
    <x:tableColumn id="16" name="Statut du coût"/>
    <x:tableColumn id="17" name="Qualité réellement observée"/>
    <x:tableColumn id="18" name="Anomalies réellement observé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RQualityTable" displayName="OCRQualityTable" ref="A1:D18" headerRowCount="1" totalsRowCount="0" totalsRowShown="0">
  <x:tableColumns count="4">
    <x:tableColumn id="1" name="Fournisseur / modèle"/>
    <x:tableColumn id="2" name="Page"/>
    <x:tableColumn id="3" name="Type"/>
    <x:tableColumn id="4" name="Observation ré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d5450cbfff48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1d8afe9887499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16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  <x:col min="11" max="11" width="20" hidden="0" customWidth="1"/>
    <x:col min="12" max="12" width="18" hidden="0" customWidth="1"/>
    <x:col min="13" max="13" width="17" hidden="0" customWidth="1"/>
    <x:col min="14" max="14" width="17" hidden="0" customWidth="1"/>
    <x:col min="15" max="15" width="22" hidden="0" customWidth="1"/>
    <x:col min="16" max="16" width="30" hidden="0" customWidth="1"/>
    <x:col min="17" max="17" width="55" hidden="0" customWidth="1"/>
    <x:col min="18" max="18" width="55" hidden="0" customWidth="1"/>
  </x:cols>
  <x:sheetData>
    <x:row r="1" ht="38" customHeight="1">
      <x:c r="A1" s="14" t="str">
        <x:v>Fournisseur</x:v>
      </x:c>
      <x:c r="B1" s="14" t="str">
        <x:v>Modèle</x:v>
      </x:c>
      <x:c r="C1" s="14" t="str">
        <x:v>Usage prévu</x:v>
      </x:c>
      <x:c r="D1" s="14" t="str">
        <x:v>Durée 10 pages (s)</x:v>
      </x:c>
      <x:c r="E1" s="14" t="str">
        <x:v>s/page</x:v>
      </x:c>
      <x:c r="F1" s="14" t="str">
        <x:v>Tokens entrée (10 p.)</x:v>
      </x:c>
      <x:c r="G1" s="14" t="str">
        <x:v>Tokens sortie (10 p.)</x:v>
      </x:c>
      <x:c r="H1" s="14" t="str">
        <x:v>Tokens total (10 p.)</x:v>
      </x:c>
      <x:c r="I1" s="14" t="str">
        <x:v>Tokens entrée / 1000 p.</x:v>
      </x:c>
      <x:c r="J1" s="14" t="str">
        <x:v>Tokens sortie / 1000 p.</x:v>
      </x:c>
      <x:c r="K1" s="14" t="str">
        <x:v>Tokens total / 1000 p.</x:v>
      </x:c>
      <x:c r="L1" s="14" t="str">
        <x:v>Temps / 1000 p. (h)</x:v>
      </x:c>
      <x:c r="M1" s="14" t="str">
        <x:v>Tarif entrée (€/M)</x:v>
      </x:c>
      <x:c r="N1" s="14" t="str">
        <x:v>Tarif sortie (€/M)</x:v>
      </x:c>
      <x:c r="O1" s="14" t="str">
        <x:v>Coût estimé / 1000 p. (€)</x:v>
      </x:c>
      <x:c r="P1" s="14" t="str">
        <x:v>Statut du coût</x:v>
      </x:c>
      <x:c r="Q1" s="14" t="str">
        <x:v>Qualité réellement observée</x:v>
      </x:c>
      <x:c r="R1" s="14" t="str">
        <x:v>Anomalies réellement observées</x:v>
      </x:c>
    </x:row>
    <x:row r="2" ht="95" customHeight="1">
      <x:c r="A2" s="15" t="str">
        <x:v>Ollama Cloud</x:v>
      </x:c>
      <x:c r="B2" s="15" t="str">
        <x:v>Gemma 4 31B</x:v>
      </x:c>
      <x:c r="C2" s="15" t="str">
        <x:v>Principal envisagé</x:v>
      </x:c>
      <x:c r="D2" s="18" t="n">
        <x:v>72.945</x:v>
      </x:c>
      <x:c r="E2" s="18" t="n">
        <x:f>D2/10</x:f>
        <x:v>7.294499999999999</x:v>
      </x:c>
      <x:c r="F2" s="20" t="n">
        <x:v>3820</x:v>
      </x:c>
      <x:c r="G2" s="20" t="n">
        <x:v>4228</x:v>
      </x:c>
      <x:c r="H2" s="20" t="n">
        <x:f>F2+G2</x:f>
        <x:v>8048</x:v>
      </x:c>
      <x:c r="I2" s="20" t="n">
        <x:f>F2*100</x:f>
        <x:v>382000</x:v>
      </x:c>
      <x:c r="J2" s="20" t="n">
        <x:f>G2*100</x:f>
        <x:v>422800</x:v>
      </x:c>
      <x:c r="K2" s="20" t="n">
        <x:f>H2*100</x:f>
        <x:v>804800</x:v>
      </x:c>
      <x:c r="L2" s="22" t="n">
        <x:f>E2*1000/3600</x:f>
        <x:v>2.0262499999999997</x:v>
      </x:c>
      <x:c r="M2" s="18" t="n">
        <x:v>0.1204</x:v>
      </x:c>
      <x:c r="N2" s="18" t="n">
        <x:v>0.344</x:v>
      </x:c>
      <x:c r="O2" s="18" t="n">
        <x:f>I2/1000000*M2+J2/1000000*N2</x:f>
        <x:v>0.191436</x:v>
      </x:c>
      <x:c r="P2" s="15" t="str">
        <x:v>Tarif Ollama converti en EUR</x:v>
      </x:c>
      <x:c r="Q2" s="15" t="str">
        <x:v>Markdown correct mais moins structuré que GLM. Les pages complexes 8 et 10 restent globalement bien reconnues. Une omission significative a été observée page 3.</x:v>
      </x:c>
      <x:c r="R2" s="15" t="str">
        <x:v>Page 3 : ingrédients de la « crème au chocolat » omis (30 g Maïzena, 1/4 l lait, 150 g chocolat). Page 8 : « cuillerées à soupes ». Page 9 : « C'es beignets ».</x:v>
      </x:c>
    </x:row>
    <x:row r="3" ht="95" customHeight="1">
      <x:c r="A3" s="15" t="str">
        <x:v>Infomaniak</x:v>
      </x:c>
      <x:c r="B3" s="15" t="str">
        <x:v>Gemma 4 31B IT</x:v>
      </x:c>
      <x:c r="C3" s="15" t="str">
        <x:v>Principal alternatif</x:v>
      </x:c>
      <x:c r="D3" s="18" t="n">
        <x:v>75.424</x:v>
      </x:c>
      <x:c r="E3" s="18" t="n">
        <x:f>D3/10</x:f>
        <x:v>7.542400000000001</x:v>
      </x:c>
      <x:c r="F3" s="20" t="n">
        <x:v>3770</x:v>
      </x:c>
      <x:c r="G3" s="20" t="n">
        <x:v>4273</x:v>
      </x:c>
      <x:c r="H3" s="20" t="n">
        <x:f>F3+G3</x:f>
        <x:v>8043</x:v>
      </x:c>
      <x:c r="I3" s="20" t="n">
        <x:f>F3*100</x:f>
        <x:v>377000</x:v>
      </x:c>
      <x:c r="J3" s="20" t="n">
        <x:f>G3*100</x:f>
        <x:v>427300</x:v>
      </x:c>
      <x:c r="K3" s="20" t="n">
        <x:f>H3*100</x:f>
        <x:v>804300</x:v>
      </x:c>
      <x:c r="L3" s="22" t="n">
        <x:f>E3*1000/3600</x:f>
        <x:v>2.095111111111111</x:v>
      </x:c>
      <x:c r="M3" s="18" t="n">
        <x:v>0.212</x:v>
      </x:c>
      <x:c r="N3" s="18" t="n">
        <x:v>0.424</x:v>
      </x:c>
      <x:c r="O3" s="18" t="n">
        <x:f>I3/1000000*M3+J3/1000000*N3</x:f>
        <x:v>0.2610992</x:v>
      </x:c>
      <x:c r="P3" s="15" t="str">
        <x:v>Tarif Infomaniak converti en EUR</x:v>
      </x:c>
      <x:c r="Q3" s="15" t="str">
        <x:v>Les 10 pages sont remplies et l'ordre de lecture est bon. La structure est globalement cohérente et la page 3 conserve les trois listes d'ingrédients.</x:v>
      </x:c>
      <x:c r="R3" s="15" t="str">
        <x:v>Page 6 : « coupes coupes ». Page 7 : « meringueée » et « Absa » au lieu de « Alsa ». Page 10 : « ranger dan un plat ».</x:v>
      </x:c>
    </x:row>
    <x:row r="4" ht="95" customHeight="1">
      <x:c r="A4" s="15" t="str">
        <x:v>Azure</x:v>
      </x:c>
      <x:c r="B4" s="15" t="str">
        <x:v>GPT-5.4-mini</x:v>
      </x:c>
      <x:c r="C4" s="15" t="str">
        <x:v>Fallback historique pour pages loupées</x:v>
      </x:c>
      <x:c r="D4" s="18" t="n">
        <x:v>51.841</x:v>
      </x:c>
      <x:c r="E4" s="18" t="n">
        <x:f>D4/10</x:f>
        <x:v>5.1841</x:v>
      </x:c>
      <x:c r="F4" s="20" t="n">
        <x:v>11130</x:v>
      </x:c>
      <x:c r="G4" s="20" t="n">
        <x:v>4197</x:v>
      </x:c>
      <x:c r="H4" s="20" t="n">
        <x:f>F4+G4</x:f>
        <x:v>15327</x:v>
      </x:c>
      <x:c r="I4" s="20" t="n">
        <x:f>F4*100</x:f>
        <x:v>1113000</x:v>
      </x:c>
      <x:c r="J4" s="20" t="n">
        <x:f>G4*100</x:f>
        <x:v>419700</x:v>
      </x:c>
      <x:c r="K4" s="20" t="n">
        <x:f>H4*100</x:f>
        <x:v>1532700</x:v>
      </x:c>
      <x:c r="L4" s="22" t="n">
        <x:f>E4*1000/3600</x:f>
        <x:v>1.440027777777778</x:v>
      </x:c>
      <x:c r="M4" s="18" t="n">
        <x:v>0.645</x:v>
      </x:c>
      <x:c r="N4" s="18" t="n">
        <x:v>3.87</x:v>
      </x:c>
      <x:c r="O4" s="18" t="n">
        <x:f>I4/1000000*M4+J4/1000000*N4</x:f>
        <x:v>2.342124</x:v>
      </x:c>
      <x:c r="P4" s="15" t="str">
        <x:v>Indicatif : tarif Azure exact à confirmer</x:v>
      </x:c>
      <x:c r="Q4" s="15" t="str">
        <x:v>Très rapide, 10 pages remplies, Markdown propre et structuré. Il récupère bien les listes d'ingrédients de la page 3 et corrige plusieurs petites erreurs vues chez Gemma.</x:v>
      </x:c>
      <x:c r="R4" s="15" t="str">
        <x:v>Page 3 : « crème au vanille » au lieu de « crème à la vanille ». Pas d'omission majeure remarquée lors de la revue.</x:v>
      </x:c>
    </x:row>
    <x:row r="5" ht="95" customHeight="1">
      <x:c r="A5" s="15" t="str">
        <x:v>Ollama Cloud</x:v>
      </x:c>
      <x:c r="B5" s="15" t="str">
        <x:v>GLM-5.3-Flash</x:v>
      </x:c>
      <x:c r="C5" s="15" t="str">
        <x:v>Fallback structurant envisagé</x:v>
      </x:c>
      <x:c r="D5" s="18" t="n">
        <x:v>122.764</x:v>
      </x:c>
      <x:c r="E5" s="18" t="n">
        <x:f>D5/10</x:f>
        <x:v>12.276399999999999</x:v>
      </x:c>
      <x:c r="F5" s="20" t="n">
        <x:v>80670</x:v>
      </x:c>
      <x:c r="G5" s="20" t="n">
        <x:v>15643</x:v>
      </x:c>
      <x:c r="H5" s="20" t="n">
        <x:f>F5+G5</x:f>
        <x:v>96313</x:v>
      </x:c>
      <x:c r="I5" s="20" t="n">
        <x:f>F5*100</x:f>
        <x:v>8067000</x:v>
      </x:c>
      <x:c r="J5" s="20" t="n">
        <x:f>G5*100</x:f>
        <x:v>1564300</x:v>
      </x:c>
      <x:c r="K5" s="20" t="n">
        <x:f>H5*100</x:f>
        <x:v>9631300</x:v>
      </x:c>
      <x:c r="L5" s="22" t="n">
        <x:f>E5*1000/3600</x:f>
        <x:v>3.410111111111111</x:v>
      </x:c>
      <x:c r="M5" s="18" t="n">
        <x:v>0.129</x:v>
      </x:c>
      <x:c r="N5" s="18" t="n">
        <x:v>0.43</x:v>
      </x:c>
      <x:c r="O5" s="18" t="n">
        <x:f>I5/1000000*M5+J5/1000000*N5</x:f>
        <x:v>1.713292</x:v>
      </x:c>
      <x:c r="P5" s="15" t="str">
        <x:v>Tarif Ollama converti en EUR</x:v>
      </x:c>
      <x:c r="Q5" s="15" t="str">
        <x:v>Le rendu le plus structuré observé : titres, listes d'ingrédients et étapes sont bien séparés. Page 3 : récupère correctement les ingrédients oubliés par Gemma Ollama. Pages 8 et 10 : découpage convaincant.</x:v>
      </x:c>
      <x:c r="R5" s="15" t="str">
        <x:v>Aucune omission majeure remarquée lors de la revue actuelle. En contrepartie, consommation de tokens très élevée et temps de traitement nettement supérieur.</x:v>
      </x:c>
    </x:row>
    <x:row r="6" ht="95" customHeight="1">
      <x:c r="A6" s="15" t="str">
        <x:v>Infomaniak</x:v>
      </x:c>
      <x:c r="B6" s="15" t="str">
        <x:v>Kimi K2.6</x:v>
      </x:c>
      <x:c r="C6" s="15" t="str">
        <x:v>Écarté pour OCR</x:v>
      </x:c>
      <x:c r="D6" s="18" t="n">
        <x:v>278.409</x:v>
      </x:c>
      <x:c r="E6" s="18" t="n">
        <x:f>D6/10</x:f>
        <x:v>27.840899999999998</x:v>
      </x:c>
      <x:c r="F6" s="20" t="n">
        <x:v>42830</x:v>
      </x:c>
      <x:c r="G6" s="20" t="n">
        <x:v>57843</x:v>
      </x:c>
      <x:c r="H6" s="20" t="n">
        <x:f>F6+G6</x:f>
        <x:v>100673</x:v>
      </x:c>
      <x:c r="I6" s="20" t="n">
        <x:f>F6*100</x:f>
        <x:v>4283000</x:v>
      </x:c>
      <x:c r="J6" s="20" t="n">
        <x:f>G6*100</x:f>
        <x:v>5784300</x:v>
      </x:c>
      <x:c r="K6" s="20" t="n">
        <x:f>H6*100</x:f>
        <x:v>10067300</x:v>
      </x:c>
      <x:c r="L6" s="22" t="n">
        <x:f>E6*1000/3600</x:f>
        <x:v>7.733583333333333</x:v>
      </x:c>
      <x:c r="M6" s="18" t="n">
        <x:v>0.6</x:v>
      </x:c>
      <x:c r="N6" s="18" t="n">
        <x:v>3</x:v>
      </x:c>
      <x:c r="O6" s="18" t="n">
        <x:f>I6/1000000*M6+J6/1000000*N6</x:f>
        <x:v>19.9227</x:v>
      </x:c>
      <x:c r="P6" s="15" t="str">
        <x:v>Tarifs Infomaniak fournis par l'utilisateur</x:v>
      </x:c>
      <x:c r="Q6" s="15" t="str">
        <x:v>Bonne qualité OCR brute : les 10 pages sont remplies, la page 3 conserve les trois recettes et leurs ingrédients, et les pages 8 et 10 sont bien structurées. Mais le modèle est beaucoup trop lent et bavard pour ce rôle.</x:v>
      </x:c>
      <x:c r="R6" s="15" t="str">
        <x:v>Quelques erreurs OCR mineures observées, dont « cuillerées à soupes ». Pas d'omission majeure remarquée, mais 57 843 tokens de sortie pour 10 pages et 278,409 s de traitement rendent ce modèle inadapté comme OCR principal ou fallback courant.</x:v>
      </x:c>
    </x:row>
  </x:sheetData>
  <x:pageMargins left="0.7" right="0.7" top="0.75" bottom="0.75" header="0.3" footer="0.3"/>
  <x:tableParts count="1">
    <x:tablePart xmlns:r="http://schemas.openxmlformats.org/officeDocument/2006/relationships" r:id="R32d5450cbfff48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4" hidden="0" customWidth="1"/>
    <x:col min="4" max="4" width="82" hidden="0" customWidth="1"/>
  </x:cols>
  <x:sheetData>
    <x:row r="1" ht="30" customHeight="1">
      <x:c r="A1" s="14" t="str">
        <x:v>Fournisseur / modèle</x:v>
      </x:c>
      <x:c r="B1" s="14" t="str">
        <x:v>Page</x:v>
      </x:c>
      <x:c r="C1" s="14" t="str">
        <x:v>Type</x:v>
      </x:c>
      <x:c r="D1" s="14" t="str">
        <x:v>Observation réelle</x:v>
      </x:c>
    </x:row>
    <x:row r="2" ht="50" customHeight="1">
      <x:c r="A2" s="15" t="str">
        <x:v>Ollama / Gemma 4 31B</x:v>
      </x:c>
      <x:c r="B2" s="15" t="str">
        <x:v>3</x:v>
      </x:c>
      <x:c r="C2" s="15" t="str">
        <x:v>Omission significative</x:v>
      </x:c>
      <x:c r="D2" s="15" t="str">
        <x:v>Les ingrédients de la crème au chocolat sont absents : 30 g de Maïzena, 1/4 l de lait, 150 g de chocolat.</x:v>
      </x:c>
    </x:row>
    <x:row r="3" ht="50" customHeight="1">
      <x:c r="A3" s="15" t="str">
        <x:v>Ollama / Gemma 4 31B</x:v>
      </x:c>
      <x:c r="B3" s="15" t="str">
        <x:v>8</x:v>
      </x:c>
      <x:c r="C3" s="15" t="str">
        <x:v>Erreur OCR mineure</x:v>
      </x:c>
      <x:c r="D3" s="15" t="str">
        <x:v>« cuillerées à soupes » au lieu de « cuillerées à soupe ».</x:v>
      </x:c>
    </x:row>
    <x:row r="4" ht="50" customHeight="1">
      <x:c r="A4" s="15" t="str">
        <x:v>Ollama / Gemma 4 31B</x:v>
      </x:c>
      <x:c r="B4" s="15" t="str">
        <x:v>9</x:v>
      </x:c>
      <x:c r="C4" s="15" t="str">
        <x:v>Erreur OCR mineure</x:v>
      </x:c>
      <x:c r="D4" s="15" t="str">
        <x:v>« C'es beignets » au lieu de « Ces beignets ».</x:v>
      </x:c>
    </x:row>
    <x:row r="5" ht="50" customHeight="1">
      <x:c r="A5" s="15" t="str">
        <x:v>Ollama / Gemma 4 31B</x:v>
      </x:c>
      <x:c r="B5" s="15" t="str">
        <x:v>8 et 10</x:v>
      </x:c>
      <x:c r="C5" s="15" t="str">
        <x:v>Point fort</x:v>
      </x:c>
      <x:c r="D5" s="15" t="str">
        <x:v>Pages complexes globalement complètes malgré une structure Markdown moins poussée que GLM.</x:v>
      </x:c>
    </x:row>
    <x:row r="6" ht="50" customHeight="1">
      <x:c r="A6" s="15" t="str">
        <x:v>Infomaniak / Gemma 4 31B IT</x:v>
      </x:c>
      <x:c r="B6" s="15" t="str">
        <x:v>3</x:v>
      </x:c>
      <x:c r="C6" s="15" t="str">
        <x:v>Point fort</x:v>
      </x:c>
      <x:c r="D6" s="15" t="str">
        <x:v>Les trois sous-recettes et leurs listes d'ingrédients sont conservées.</x:v>
      </x:c>
    </x:row>
    <x:row r="7" ht="50" customHeight="1">
      <x:c r="A7" s="15" t="str">
        <x:v>Infomaniak / Gemma 4 31B IT</x:v>
      </x:c>
      <x:c r="B7" s="15" t="str">
        <x:v>6</x:v>
      </x:c>
      <x:c r="C7" s="15" t="str">
        <x:v>Erreur OCR mineure</x:v>
      </x:c>
      <x:c r="D7" s="15" t="str">
        <x:v>Duplication : « coupes coupes ».</x:v>
      </x:c>
    </x:row>
    <x:row r="8" ht="50" customHeight="1">
      <x:c r="A8" s="15" t="str">
        <x:v>Infomaniak / Gemma 4 31B IT</x:v>
      </x:c>
      <x:c r="B8" s="15" t="str">
        <x:v>7</x:v>
      </x:c>
      <x:c r="C8" s="15" t="str">
        <x:v>Erreurs OCR mineures</x:v>
      </x:c>
      <x:c r="D8" s="15" t="str">
        <x:v>Titre avec « meringueée » ; « Absa » au lieu de « Alsa ».</x:v>
      </x:c>
    </x:row>
    <x:row r="9" ht="50" customHeight="1">
      <x:c r="A9" s="15" t="str">
        <x:v>Infomaniak / Gemma 4 31B IT</x:v>
      </x:c>
      <x:c r="B9" s="15" t="str">
        <x:v>10</x:v>
      </x:c>
      <x:c r="C9" s="15" t="str">
        <x:v>Erreur OCR mineure</x:v>
      </x:c>
      <x:c r="D9" s="15" t="str">
        <x:v>« ranger dan un plat » au lieu de « ranger dans un plat ».</x:v>
      </x:c>
    </x:row>
    <x:row r="10" ht="50" customHeight="1">
      <x:c r="A10" s="15" t="str">
        <x:v>Azure / GPT-5.4-mini</x:v>
      </x:c>
      <x:c r="B10" s="15" t="str">
        <x:v>3</x:v>
      </x:c>
      <x:c r="C10" s="15" t="str">
        <x:v>Erreur OCR mineure</x:v>
      </x:c>
      <x:c r="D10" s="15" t="str">
        <x:v>« crème au vanille » au lieu de « crème à la vanille ».</x:v>
      </x:c>
    </x:row>
    <x:row r="11" ht="50" customHeight="1">
      <x:c r="A11" s="15" t="str">
        <x:v>Azure / GPT-5.4-mini</x:v>
      </x:c>
      <x:c r="B11" s="15" t="str">
        <x:v>1–10</x:v>
      </x:c>
      <x:c r="C11" s="15" t="str">
        <x:v>Point fort</x:v>
      </x:c>
      <x:c r="D11" s="15" t="str">
        <x:v>Les 10 pages sont remplies ; Markdown propre et structuré ; aucune omission majeure remarquée lors de la revue.</x:v>
      </x:c>
    </x:row>
    <x:row r="12" ht="50" customHeight="1">
      <x:c r="A12" s="15" t="str">
        <x:v>Ollama / GLM-5.3-Flash</x:v>
      </x:c>
      <x:c r="B12" s="15" t="str">
        <x:v>3</x:v>
      </x:c>
      <x:c r="C12" s="15" t="str">
        <x:v>Point fort</x:v>
      </x:c>
      <x:c r="D12" s="15" t="str">
        <x:v>Récupère correctement les ingrédients de la crème au chocolat oubliés par Gemma Ollama.</x:v>
      </x:c>
    </x:row>
    <x:row r="13" ht="50" customHeight="1">
      <x:c r="A13" s="15" t="str">
        <x:v>Ollama / GLM-5.3-Flash</x:v>
      </x:c>
      <x:c r="B13" s="15" t="str">
        <x:v>8 et 10</x:v>
      </x:c>
      <x:c r="C13" s="15" t="str">
        <x:v>Point fort</x:v>
      </x:c>
      <x:c r="D13" s="15" t="str">
        <x:v>Découpage des recettes et variantes particulièrement structuré et convaincant.</x:v>
      </x:c>
    </x:row>
    <x:row r="14" ht="50" customHeight="1">
      <x:c r="A14" s="15" t="str">
        <x:v>Ollama / GLM-5.3-Flash</x:v>
      </x:c>
      <x:c r="B14" s="15" t="str">
        <x:v>1–10</x:v>
      </x:c>
      <x:c r="C14" s="15" t="str">
        <x:v>Constat</x:v>
      </x:c>
      <x:c r="D14" s="15" t="str">
        <x:v>Aucune omission majeure remarquée lors de la revue actuelle, mais consommation et temps très supérieurs.</x:v>
      </x:c>
    </x:row>
    <x:row r="15" ht="50" customHeight="1">
      <x:c r="A15" s="15" t="str">
        <x:v>Infomaniak / Kimi K2.6</x:v>
      </x:c>
      <x:c r="B15" s="15" t="str">
        <x:v>3</x:v>
      </x:c>
      <x:c r="C15" s="15" t="str">
        <x:v>Point fort</x:v>
      </x:c>
      <x:c r="D15" s="15" t="str">
        <x:v>Les trois recettes et leurs listes d'ingrédients sont conservées ; aucune omission comparable à Gemma Ollama.</x:v>
      </x:c>
    </x:row>
    <x:row r="16" ht="50" customHeight="1">
      <x:c r="A16" s="15" t="str">
        <x:v>Infomaniak / Kimi K2.6</x:v>
      </x:c>
      <x:c r="B16" s="15" t="str">
        <x:v>8 et 10</x:v>
      </x:c>
      <x:c r="C16" s="15" t="str">
        <x:v>Point fort</x:v>
      </x:c>
      <x:c r="D16" s="15" t="str">
        <x:v>Les pages complexes sont bien structurées et les différents blocs sont correctement séparés.</x:v>
      </x:c>
    </x:row>
    <x:row r="17" ht="50" customHeight="1">
      <x:c r="A17" s="15" t="str">
        <x:v>Infomaniak / Kimi K2.6</x:v>
      </x:c>
      <x:c r="B17" s="15" t="str">
        <x:v>1–10</x:v>
      </x:c>
      <x:c r="C17" s="15" t="str">
        <x:v>Limite majeure</x:v>
      </x:c>
      <x:c r="D17" s="15" t="str">
        <x:v>Qualité OCR globalement bonne, mais 278,409 s et 57 843 tokens de sortie sur 10 pages : modèle trop lent et trop bavard pour le pipeline OCR.</x:v>
      </x:c>
    </x:row>
    <x:row r="18" ht="50" customHeight="1">
      <x:c r="A18" s="15" t="str">
        <x:v>Infomaniak / Kimi K2.6</x:v>
      </x:c>
      <x:c r="B18" s="15" t="str">
        <x:v>divers</x:v>
      </x:c>
      <x:c r="C18" s="15" t="str">
        <x:v>Erreur OCR mineure</x:v>
      </x:c>
      <x:c r="D18" s="15" t="str">
        <x:v>Exemple observé : « cuillerées à soupes » au lieu de « cuillerées à soupe ».</x:v>
      </x:c>
    </x:row>
  </x:sheetData>
  <x:pageMargins left="0.7" right="0.7" top="0.75" bottom="0.75" header="0.3" footer="0.3"/>
  <x:tableParts count="1">
    <x:tablePart xmlns:r="http://schemas.openxmlformats.org/officeDocument/2006/relationships" r:id="R8e1d8afe988749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82" hidden="0" customWidth="1"/>
  </x:cols>
  <x:sheetData>
    <x:row r="1" ht="30" customHeight="1">
      <x:c r="A1" s="6" t="str">
        <x:v>Hypothèse</x:v>
      </x:c>
      <x:c r="B1" s="6" t="str">
        <x:v>Valeur</x:v>
      </x:c>
      <x:c r="C1" s="6" t="str">
        <x:v>Commentaire</x:v>
      </x:c>
    </x:row>
    <x:row r="2" ht="42" customHeight="1">
      <x:c r="A2" s="12" t="str">
        <x:v>Corpus de test</x:v>
      </x:c>
      <x:c r="B2" s="12" t="n">
        <x:v>10</x:v>
      </x:c>
      <x:c r="C2" s="12" t="str">
        <x:v>Même PDF scanné de 10 pages pour tous les runs.</x:v>
      </x:c>
    </x:row>
    <x:row r="3" ht="42" customHeight="1">
      <x:c r="A3" s="12" t="str">
        <x:v>Projection 1000 pages</x:v>
      </x:c>
      <x:c r="B3" s="12" t="str">
        <x:v>×100</x:v>
      </x:c>
      <x:c r="C3" s="12" t="str">
        <x:v>Projection linéaire à partir des mesures sur 10 pages.</x:v>
      </x:c>
    </x:row>
    <x:row r="4" ht="42" customHeight="1">
      <x:c r="A4" s="12" t="str">
        <x:v>USD → EUR utilisé</x:v>
      </x:c>
      <x:c r="B4" s="12" t="n">
        <x:v>0.86</x:v>
      </x:c>
      <x:c r="C4" s="12" t="str">
        <x:v>Taux déjà utilisé dans les calculs de la session.</x:v>
      </x:c>
    </x:row>
    <x:row r="5" ht="42" customHeight="1">
      <x:c r="A5" s="12" t="str">
        <x:v>CHF → EUR utilisé</x:v>
      </x:c>
      <x:c r="B5" s="12" t="n">
        <x:v>1.06</x:v>
      </x:c>
      <x:c r="C5" s="12" t="str">
        <x:v>Taux déjà utilisé dans les calculs de la session.</x:v>
      </x:c>
    </x:row>
    <x:row r="6" ht="42" customHeight="1">
      <x:c r="A6" s="12" t="str">
        <x:v>Ollama Pro</x:v>
      </x:c>
      <x:c r="B6" s="12" t="str">
        <x:v>20 USD/mois</x:v>
      </x:c>
      <x:c r="C6" s="12" t="str">
        <x:v>Abonnement indiqué par l'utilisateur.</x:v>
      </x:c>
    </x:row>
    <x:row r="7" ht="42" customHeight="1">
      <x:c r="A7" s="12" t="str">
        <x:v>Valeur d'usage Ollama incluse</x:v>
      </x:c>
      <x:c r="B7" s="12" t="str">
        <x:v>60 USD/mois</x:v>
      </x:c>
      <x:c r="C7" s="12" t="str">
        <x:v>Les coûts Ollama estimés consomment cette enveloppe avant éventuelle facturation supplémentaire.</x:v>
      </x:c>
    </x:row>
    <x:row r="8" ht="42" customHeight="1">
      <x:c r="A8" s="12" t="str">
        <x:v>Azure GPT-5.4-mini</x:v>
      </x:c>
      <x:c r="B8" s="12" t="str">
        <x:v>Coût indicatif</x:v>
      </x:c>
      <x:c r="C8" s="12" t="str">
        <x:v>Tarif exact du déploiement Azure non confirmé ; temps et tokens sont mesurés.</x:v>
      </x:c>
    </x:row>
    <x:row r="9" ht="42" customHeight="1">
      <x:c r="A9" s="12" t="str">
        <x:v>Prétraitement futur</x:v>
      </x:c>
      <x:c r="B9" s="12" t="str">
        <x:v>À tester</x:v>
      </x:c>
      <x:c r="C9" s="12" t="str">
        <x:v>Piste conservée : crop des marges, résolution normalisée, contraste léger avant envoi au fournisseur.</x:v>
      </x:c>
    </x:row>
  </x:sheetData>
  <x:pageMargins left="0.7" right="0.7" top="0.75" bottom="0.75" header="0.3" footer="0.3"/>
</x:worksheet>
</file>